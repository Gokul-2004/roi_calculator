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ycusitis-my.sharepoint.com/personal/srinivasu_gollapudi_zycus_com/Documents/"/>
    </mc:Choice>
  </mc:AlternateContent>
  <xr:revisionPtr revIDLastSave="90" documentId="8_{B266C083-3F13-4D99-B48D-A6F2698610A3}" xr6:coauthVersionLast="47" xr6:coauthVersionMax="47" xr10:uidLastSave="{09C84EED-874F-4302-9BA5-FC813B014AE5}"/>
  <bookViews>
    <workbookView xWindow="-110" yWindow="-110" windowWidth="19420" windowHeight="10300" xr2:uid="{00000000-000D-0000-FFFF-FFFF00000000}"/>
  </bookViews>
  <sheets>
    <sheet name="ROI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49" i="1"/>
  <c r="C41" i="1"/>
  <c r="D41" i="1" s="1"/>
  <c r="C40" i="1"/>
  <c r="B40" i="1"/>
  <c r="B39" i="1"/>
  <c r="D39" i="1" s="1"/>
  <c r="C38" i="1"/>
  <c r="B38" i="1"/>
  <c r="B37" i="1"/>
  <c r="D37" i="1" s="1"/>
  <c r="B36" i="1"/>
  <c r="D36" i="1" s="1"/>
  <c r="D40" i="1" l="1"/>
  <c r="D38" i="1"/>
  <c r="C45" i="1"/>
  <c r="B45" i="1"/>
  <c r="D45" i="1" l="1"/>
  <c r="B56" i="1" s="1"/>
  <c r="B57" i="1" l="1"/>
  <c r="B53" i="1"/>
  <c r="B52" i="1"/>
  <c r="B50" i="1"/>
  <c r="B54" i="1"/>
  <c r="B51" i="1"/>
  <c r="B55" i="1"/>
  <c r="B48" i="1"/>
</calcChain>
</file>

<file path=xl/sharedStrings.xml><?xml version="1.0" encoding="utf-8"?>
<sst xmlns="http://schemas.openxmlformats.org/spreadsheetml/2006/main" count="154" uniqueCount="139">
  <si>
    <t>Input Parameter</t>
  </si>
  <si>
    <t>Value</t>
  </si>
  <si>
    <t>Unit</t>
  </si>
  <si>
    <t>Description</t>
  </si>
  <si>
    <t>Documents per Year</t>
  </si>
  <si>
    <t>documents</t>
  </si>
  <si>
    <t>Annual documents requiring signatures (patient consent, admission, discharge, etc.)</t>
  </si>
  <si>
    <t>Average Pages per Document</t>
  </si>
  <si>
    <t>pages</t>
  </si>
  <si>
    <t>Typical document length in your organization</t>
  </si>
  <si>
    <t>Number of Signatories per Document</t>
  </si>
  <si>
    <t>signatories</t>
  </si>
  <si>
    <t>Average signatures required per document</t>
  </si>
  <si>
    <t>Number of Staff Handling Documents</t>
  </si>
  <si>
    <t>employees</t>
  </si>
  <si>
    <t>Staff involved in document processing</t>
  </si>
  <si>
    <t>E-Signature Solution Annual Cost</t>
  </si>
  <si>
    <t>₹</t>
  </si>
  <si>
    <t>Annual subscription fee for e-signature platform</t>
  </si>
  <si>
    <t>Implementation Cost (One-time)</t>
  </si>
  <si>
    <t>Initial setup and integration costs</t>
  </si>
  <si>
    <t>Cost Component</t>
  </si>
  <si>
    <t>Notes</t>
  </si>
  <si>
    <t>Paper Cost per Page</t>
  </si>
  <si>
    <t>A4 paper cost including printing</t>
  </si>
  <si>
    <t>Storage Cost per Document per Year</t>
  </si>
  <si>
    <t>Physical archival and retrieval costs</t>
  </si>
  <si>
    <t>Staff Time per Document (Paper)</t>
  </si>
  <si>
    <t>minutes</t>
  </si>
  <si>
    <t>Time for printing, handling, manual filing</t>
  </si>
  <si>
    <t>Average Staff Hourly Cost</t>
  </si>
  <si>
    <t>Blended rate for document handlers</t>
  </si>
  <si>
    <t>Document Loss/Re-creation Rate</t>
  </si>
  <si>
    <t>%</t>
  </si>
  <si>
    <t>Documents lost or requiring recreation</t>
  </si>
  <si>
    <t>Compliance Audit Cost per Year (Paper)</t>
  </si>
  <si>
    <t>Manual audit and compliance costs</t>
  </si>
  <si>
    <t>E-Signature Staff Time per Document</t>
  </si>
  <si>
    <t>Time for digital signing process</t>
  </si>
  <si>
    <t>E-Signature Compliance Cost per Year</t>
  </si>
  <si>
    <t>Digital audit and compliance costs</t>
  </si>
  <si>
    <t>ANNUAL COST BREAKDOWN (with Formulas)</t>
  </si>
  <si>
    <t>Paper-Based (₹)</t>
  </si>
  <si>
    <t>E-Signature (₹)</t>
  </si>
  <si>
    <t>Annual Savings (₹)</t>
  </si>
  <si>
    <t>Formula Logic</t>
  </si>
  <si>
    <t>Paper &amp; Printing</t>
  </si>
  <si>
    <t>Docs/Yr × Pages × Cost/page</t>
  </si>
  <si>
    <t>Physical Storage &amp; Filing</t>
  </si>
  <si>
    <t>Docs/Yr × Storage cost/yr</t>
  </si>
  <si>
    <t>Staff Time (Processing &amp; Signing)</t>
  </si>
  <si>
    <t>Docs/Yr × (Time/60) × Hourly Rate</t>
  </si>
  <si>
    <t>Document Loss/Recreation</t>
  </si>
  <si>
    <t>Docs/Yr × Loss% × Paper cost</t>
  </si>
  <si>
    <t>Compliance &amp; Audit</t>
  </si>
  <si>
    <t>Audit and compliance costs</t>
  </si>
  <si>
    <t>Software Subscription</t>
  </si>
  <si>
    <t>E-signature platform annual</t>
  </si>
  <si>
    <t>TOTAL ANNUAL COST</t>
  </si>
  <si>
    <t>Sum of all costs</t>
  </si>
  <si>
    <t>ANNUAL ROI SUMMARY &amp; PAYBACK ANALYSIS</t>
  </si>
  <si>
    <t>Annual Cost Savings (Year 2+)</t>
  </si>
  <si>
    <t>(After Year 1 implementation)</t>
  </si>
  <si>
    <t>One-Time Implementation Cost</t>
  </si>
  <si>
    <t>(Year 1 only)</t>
  </si>
  <si>
    <t>Payback Period</t>
  </si>
  <si>
    <t>(Months to recover cost)</t>
  </si>
  <si>
    <t>Net Benefit - Year 1</t>
  </si>
  <si>
    <t>(Savings minus implementation)</t>
  </si>
  <si>
    <t>Year 1 ROI (%)</t>
  </si>
  <si>
    <t>(First year return)</t>
  </si>
  <si>
    <t>Year 2 ROI (%)</t>
  </si>
  <si>
    <t>(Cumulative 2 years)</t>
  </si>
  <si>
    <t>Year 3 ROI (%)</t>
  </si>
  <si>
    <t>(Cumulative 3 years)</t>
  </si>
  <si>
    <t>Year 5 ROI (%)</t>
  </si>
  <si>
    <t>(Cumulative 5 years)</t>
  </si>
  <si>
    <t>Net Savings - 3 Years</t>
  </si>
  <si>
    <t>(Total savings over 3 years)</t>
  </si>
  <si>
    <t>Net Savings - 5 Years</t>
  </si>
  <si>
    <t>(Total savings over 5 years)</t>
  </si>
  <si>
    <t>ANNUAL BENEFITS (Non-Financial)</t>
  </si>
  <si>
    <t>Instant Document Signing</t>
  </si>
  <si>
    <t>Patients sign at admission/discharge kiosk</t>
  </si>
  <si>
    <t>Zero waiting time for approvals</t>
  </si>
  <si>
    <t>Pages Saved Annually</t>
  </si>
  <si>
    <t>Reduced paper &amp; environmental impact</t>
  </si>
  <si>
    <t>Compliance &amp; Audit Trail</t>
  </si>
  <si>
    <t>100% digital audit trail with timestamps</t>
  </si>
  <si>
    <t>NABH, ABDM compliance easier</t>
  </si>
  <si>
    <t>Reduced Staff Burden</t>
  </si>
  <si>
    <t>More time for patient care</t>
  </si>
  <si>
    <t>Error Reduction</t>
  </si>
  <si>
    <t>No lost signatures or missing approvals</t>
  </si>
  <si>
    <t>Improved operational efficiency</t>
  </si>
  <si>
    <t>Patient Experience</t>
  </si>
  <si>
    <t>Faster onboarding and discharge process</t>
  </si>
  <si>
    <t>Enhanced patient satisfaction</t>
  </si>
  <si>
    <t>5 min vs 15 min per document</t>
  </si>
  <si>
    <t>ROI Calculator: Paper-Based vs E-Signature Solution</t>
  </si>
  <si>
    <t>Indian Healthcare Sector (Patient Documents) - Annual Cost Comparison &amp; ROI Analysis</t>
  </si>
  <si>
    <t>COLOR LEGEND</t>
  </si>
  <si>
    <t>Yellow</t>
  </si>
  <si>
    <t>→</t>
  </si>
  <si>
    <t>User Input Fields - Editable cells only</t>
  </si>
  <si>
    <t>Green</t>
  </si>
  <si>
    <t>Assumptions &amp; Fixed Values - Protected</t>
  </si>
  <si>
    <t>Light Blue</t>
  </si>
  <si>
    <t>Calculated Values &amp; Results - Protected</t>
  </si>
  <si>
    <t>Orange</t>
  </si>
  <si>
    <t>ROI Metrics &amp; Summary - Protected</t>
  </si>
  <si>
    <t>USER INPUTS (Modify only these yellow values)</t>
  </si>
  <si>
    <t>Implementation Timeline (Months)</t>
  </si>
  <si>
    <t>months</t>
  </si>
  <si>
    <t>Time required for full deployment and staff training</t>
  </si>
  <si>
    <t>COST ASSUMPTIONS (Industry Benchmarks for Indian Healthcare - PROTECTED)</t>
  </si>
  <si>
    <t>Potential DPDP Act non-compliance costs</t>
  </si>
  <si>
    <t>Minimal compliance cost with e-signature audit trail</t>
  </si>
  <si>
    <t>DPDP Compliance Costs (Compliant/Year)</t>
  </si>
  <si>
    <t>Potential DPDP Non Compliance Penalty (Non-Compliant/Year)</t>
  </si>
  <si>
    <t>EMR Seamless Integration</t>
  </si>
  <si>
    <t>Real-time e-signature sync with EMR systems</t>
  </si>
  <si>
    <t>Eliminates manual data entry &amp; transcription errors</t>
  </si>
  <si>
    <t>Reduced Hospital Congestion</t>
  </si>
  <si>
    <t>Faster document processing at admission/discharge</t>
  </si>
  <si>
    <t>Improves patient flow &amp; reduces waiting times</t>
  </si>
  <si>
    <t>Indian Evidence Act Compliance</t>
  </si>
  <si>
    <t>Digital signatures comply with Section 3A of Indian Evidence Act</t>
  </si>
  <si>
    <t>Legally valid &amp; admissible in courts</t>
  </si>
  <si>
    <t>IT Act 2000 Compliance</t>
  </si>
  <si>
    <t>Compliant with Indian IT Act Section 5 (electronic records)</t>
  </si>
  <si>
    <t>Valid alternate to paper documents</t>
  </si>
  <si>
    <t>DPDP Compliance Ready</t>
  </si>
  <si>
    <t>Full audit trail + data residency options</t>
  </si>
  <si>
    <t>Reduced regulatory violation risks</t>
  </si>
  <si>
    <t>Patient Signature Denial (Opportunity Cost)</t>
  </si>
  <si>
    <t>Docs/Yr × Denial% × Cost/denial</t>
  </si>
  <si>
    <t>Compliance, Audit &amp; DPDP Penalties</t>
  </si>
  <si>
    <t>Compliance cost + DPDP penalties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</si>
</sst>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0"/>
      <name val="Calibri"/>
    </font>
    <font>
      <i/>
      <sz val="9"/>
      <name val="Calibri"/>
    </font>
    <font>
      <b/>
      <sz val="12"/>
      <name val="Calibri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8EA9DB"/>
        <bgColor rgb="FF8EA9DB"/>
      </patternFill>
    </fill>
    <fill>
      <patternFill patternType="solid">
        <fgColor rgb="FFFFF2CC"/>
        <bgColor rgb="FFFFF2CC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4" fontId="3" fillId="6" borderId="1" xfId="0" applyNumberFormat="1" applyFont="1" applyFill="1" applyBorder="1" applyAlignment="1">
      <alignment horizontal="right" vertical="center" wrapText="1"/>
    </xf>
    <xf numFmtId="3" fontId="4" fillId="7" borderId="1" xfId="0" applyNumberFormat="1" applyFont="1" applyFill="1" applyBorder="1" applyAlignment="1">
      <alignment horizontal="right" vertical="center" wrapText="1"/>
    </xf>
    <xf numFmtId="3" fontId="6" fillId="9" borderId="1" xfId="0" applyNumberFormat="1" applyFont="1" applyFill="1" applyBorder="1" applyAlignment="1">
      <alignment horizontal="right" vertical="center" wrapText="1"/>
    </xf>
    <xf numFmtId="164" fontId="6" fillId="9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right" vertical="center" wrapText="1"/>
    </xf>
    <xf numFmtId="3" fontId="4" fillId="10" borderId="1" xfId="0" applyNumberFormat="1" applyFont="1" applyFill="1" applyBorder="1" applyAlignment="1">
      <alignment horizontal="right" vertical="center" wrapText="1"/>
    </xf>
    <xf numFmtId="0" fontId="4" fillId="7" borderId="0" xfId="0" applyFont="1" applyFill="1" applyAlignment="1">
      <alignment horizontal="left" vertical="center" wrapText="1"/>
    </xf>
    <xf numFmtId="3" fontId="4" fillId="7" borderId="0" xfId="0" applyNumberFormat="1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6" borderId="0" xfId="0" applyFont="1" applyFill="1" applyBorder="1" applyAlignment="1">
      <alignment horizontal="left" vertical="center" wrapText="1"/>
    </xf>
    <xf numFmtId="4" fontId="3" fillId="6" borderId="0" xfId="0" applyNumberFormat="1" applyFont="1" applyFill="1" applyBorder="1" applyAlignment="1">
      <alignment horizontal="right" vertical="center" wrapText="1"/>
    </xf>
    <xf numFmtId="0" fontId="4" fillId="6" borderId="0" xfId="0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right" vertical="center"/>
    </xf>
    <xf numFmtId="4" fontId="3" fillId="12" borderId="1" xfId="0" applyNumberFormat="1" applyFont="1" applyFill="1" applyBorder="1" applyAlignment="1">
      <alignment horizontal="right" vertical="center" wrapText="1"/>
    </xf>
    <xf numFmtId="3" fontId="4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H2" sqref="H2"/>
    </sheetView>
  </sheetViews>
  <sheetFormatPr defaultRowHeight="14.5" x14ac:dyDescent="0.35"/>
  <cols>
    <col min="1" max="1" width="35" style="14" customWidth="1"/>
    <col min="2" max="2" width="20" style="14" customWidth="1"/>
    <col min="3" max="3" width="18" style="14" customWidth="1"/>
    <col min="4" max="4" width="20" style="14" customWidth="1"/>
    <col min="5" max="5" width="35" style="14" customWidth="1"/>
    <col min="6" max="6" width="5" style="14" customWidth="1"/>
    <col min="7" max="16384" width="8.7265625" style="14"/>
  </cols>
  <sheetData>
    <row r="1" spans="1:6" ht="30" customHeight="1" x14ac:dyDescent="0.35">
      <c r="A1" s="28" t="s">
        <v>99</v>
      </c>
      <c r="B1" s="27"/>
      <c r="C1" s="27"/>
      <c r="D1" s="27"/>
      <c r="E1" s="27"/>
      <c r="F1" s="27"/>
    </row>
    <row r="2" spans="1:6" customFormat="1" ht="25" customHeight="1" x14ac:dyDescent="0.35">
      <c r="A2" s="32" t="s">
        <v>100</v>
      </c>
      <c r="B2" s="33"/>
      <c r="C2" s="33"/>
      <c r="D2" s="33"/>
      <c r="E2" s="33"/>
      <c r="F2" s="33"/>
    </row>
    <row r="3" spans="1:6" customFormat="1" x14ac:dyDescent="0.35"/>
    <row r="4" spans="1:6" customFormat="1" ht="25" customHeight="1" x14ac:dyDescent="0.35">
      <c r="A4" s="29" t="s">
        <v>101</v>
      </c>
      <c r="B4" s="29"/>
      <c r="C4" s="29"/>
      <c r="D4" s="29"/>
      <c r="E4" s="29"/>
      <c r="F4" s="29"/>
    </row>
    <row r="5" spans="1:6" customFormat="1" x14ac:dyDescent="0.35">
      <c r="A5" s="34" t="s">
        <v>102</v>
      </c>
      <c r="B5" s="34" t="s">
        <v>103</v>
      </c>
      <c r="C5" s="35" t="s">
        <v>104</v>
      </c>
      <c r="D5" s="42"/>
      <c r="E5" s="42"/>
      <c r="F5" s="42"/>
    </row>
    <row r="6" spans="1:6" customFormat="1" x14ac:dyDescent="0.35">
      <c r="A6" s="36" t="s">
        <v>105</v>
      </c>
      <c r="B6" s="36" t="s">
        <v>103</v>
      </c>
      <c r="C6" s="37" t="s">
        <v>106</v>
      </c>
      <c r="D6" s="42"/>
      <c r="E6" s="42"/>
      <c r="F6" s="42"/>
    </row>
    <row r="7" spans="1:6" customFormat="1" x14ac:dyDescent="0.35">
      <c r="A7" s="38" t="s">
        <v>107</v>
      </c>
      <c r="B7" s="38" t="s">
        <v>103</v>
      </c>
      <c r="C7" s="39" t="s">
        <v>108</v>
      </c>
      <c r="D7" s="42"/>
      <c r="E7" s="42"/>
      <c r="F7" s="42"/>
    </row>
    <row r="8" spans="1:6" customFormat="1" x14ac:dyDescent="0.35">
      <c r="A8" s="40" t="s">
        <v>109</v>
      </c>
      <c r="B8" s="40" t="s">
        <v>103</v>
      </c>
      <c r="C8" s="41" t="s">
        <v>110</v>
      </c>
      <c r="D8" s="42"/>
      <c r="E8" s="42"/>
      <c r="F8" s="42"/>
    </row>
    <row r="10" spans="1:6" ht="25" customHeight="1" x14ac:dyDescent="0.35">
      <c r="A10" s="29" t="s">
        <v>111</v>
      </c>
      <c r="B10" s="27"/>
      <c r="C10" s="27"/>
      <c r="D10" s="27"/>
      <c r="E10" s="27"/>
      <c r="F10" s="27"/>
    </row>
    <row r="11" spans="1:6" x14ac:dyDescent="0.35">
      <c r="A11" s="1" t="s">
        <v>0</v>
      </c>
      <c r="B11" s="1" t="s">
        <v>1</v>
      </c>
      <c r="C11" s="1" t="s">
        <v>2</v>
      </c>
      <c r="D11" s="1" t="s">
        <v>3</v>
      </c>
    </row>
    <row r="12" spans="1:6" ht="65" x14ac:dyDescent="0.35">
      <c r="A12" s="2" t="s">
        <v>4</v>
      </c>
      <c r="B12" s="47">
        <v>2000000</v>
      </c>
      <c r="C12" s="3" t="s">
        <v>5</v>
      </c>
      <c r="D12" s="2" t="s">
        <v>6</v>
      </c>
    </row>
    <row r="13" spans="1:6" ht="26" x14ac:dyDescent="0.35">
      <c r="A13" s="2" t="s">
        <v>7</v>
      </c>
      <c r="B13" s="47">
        <v>5</v>
      </c>
      <c r="C13" s="3" t="s">
        <v>8</v>
      </c>
      <c r="D13" s="2" t="s">
        <v>9</v>
      </c>
    </row>
    <row r="14" spans="1:6" ht="26" x14ac:dyDescent="0.35">
      <c r="A14" s="2" t="s">
        <v>10</v>
      </c>
      <c r="B14" s="47">
        <v>2</v>
      </c>
      <c r="C14" s="3" t="s">
        <v>11</v>
      </c>
      <c r="D14" s="2" t="s">
        <v>12</v>
      </c>
    </row>
    <row r="15" spans="1:6" ht="26" x14ac:dyDescent="0.35">
      <c r="A15" s="2" t="s">
        <v>13</v>
      </c>
      <c r="B15" s="47">
        <v>10</v>
      </c>
      <c r="C15" s="3" t="s">
        <v>14</v>
      </c>
      <c r="D15" s="2" t="s">
        <v>15</v>
      </c>
    </row>
    <row r="16" spans="1:6" ht="26" x14ac:dyDescent="0.35">
      <c r="A16" s="2" t="s">
        <v>16</v>
      </c>
      <c r="B16" s="47">
        <v>15000000</v>
      </c>
      <c r="C16" s="3" t="s">
        <v>17</v>
      </c>
      <c r="D16" s="2" t="s">
        <v>18</v>
      </c>
    </row>
    <row r="17" spans="1:6" ht="26" x14ac:dyDescent="0.35">
      <c r="A17" s="2" t="s">
        <v>19</v>
      </c>
      <c r="B17" s="47">
        <v>2500000</v>
      </c>
      <c r="C17" s="3" t="s">
        <v>17</v>
      </c>
      <c r="D17" s="2" t="s">
        <v>20</v>
      </c>
    </row>
    <row r="18" spans="1:6" ht="39" x14ac:dyDescent="0.35">
      <c r="A18" s="2" t="s">
        <v>112</v>
      </c>
      <c r="B18" s="47">
        <v>3</v>
      </c>
      <c r="C18" s="3" t="s">
        <v>113</v>
      </c>
      <c r="D18" s="2" t="s">
        <v>114</v>
      </c>
    </row>
    <row r="20" spans="1:6" ht="25" customHeight="1" x14ac:dyDescent="0.35">
      <c r="A20" s="29" t="s">
        <v>115</v>
      </c>
      <c r="B20" s="27"/>
      <c r="C20" s="27"/>
      <c r="D20" s="27"/>
      <c r="E20" s="27"/>
      <c r="F20" s="27"/>
    </row>
    <row r="21" spans="1:6" x14ac:dyDescent="0.35">
      <c r="A21" s="4" t="s">
        <v>21</v>
      </c>
      <c r="B21" s="4" t="s">
        <v>1</v>
      </c>
      <c r="C21" s="4" t="s">
        <v>2</v>
      </c>
      <c r="D21" s="4" t="s">
        <v>22</v>
      </c>
    </row>
    <row r="22" spans="1:6" ht="26" x14ac:dyDescent="0.35">
      <c r="A22" s="5" t="s">
        <v>23</v>
      </c>
      <c r="B22" s="15">
        <v>0.1</v>
      </c>
      <c r="C22" s="6" t="s">
        <v>17</v>
      </c>
      <c r="D22" s="5" t="s">
        <v>24</v>
      </c>
    </row>
    <row r="23" spans="1:6" ht="26" x14ac:dyDescent="0.35">
      <c r="A23" s="5" t="s">
        <v>25</v>
      </c>
      <c r="B23" s="15">
        <v>2</v>
      </c>
      <c r="C23" s="6" t="s">
        <v>17</v>
      </c>
      <c r="D23" s="5" t="s">
        <v>26</v>
      </c>
    </row>
    <row r="24" spans="1:6" ht="26" x14ac:dyDescent="0.35">
      <c r="A24" s="5" t="s">
        <v>27</v>
      </c>
      <c r="B24" s="15">
        <v>10</v>
      </c>
      <c r="C24" s="6" t="s">
        <v>28</v>
      </c>
      <c r="D24" s="5" t="s">
        <v>29</v>
      </c>
    </row>
    <row r="25" spans="1:6" ht="26" x14ac:dyDescent="0.35">
      <c r="A25" s="5" t="s">
        <v>30</v>
      </c>
      <c r="B25" s="15">
        <v>200</v>
      </c>
      <c r="C25" s="6" t="s">
        <v>17</v>
      </c>
      <c r="D25" s="5" t="s">
        <v>31</v>
      </c>
    </row>
    <row r="26" spans="1:6" ht="26" x14ac:dyDescent="0.35">
      <c r="A26" s="5" t="s">
        <v>32</v>
      </c>
      <c r="B26" s="15">
        <v>2</v>
      </c>
      <c r="C26" s="6" t="s">
        <v>33</v>
      </c>
      <c r="D26" s="5" t="s">
        <v>34</v>
      </c>
    </row>
    <row r="27" spans="1:6" ht="26" x14ac:dyDescent="0.35">
      <c r="A27" s="5" t="s">
        <v>35</v>
      </c>
      <c r="B27" s="15">
        <v>100000</v>
      </c>
      <c r="C27" s="6" t="s">
        <v>17</v>
      </c>
      <c r="D27" s="5" t="s">
        <v>36</v>
      </c>
    </row>
    <row r="28" spans="1:6" ht="26" x14ac:dyDescent="0.35">
      <c r="A28" s="5" t="s">
        <v>37</v>
      </c>
      <c r="B28" s="15">
        <v>2</v>
      </c>
      <c r="C28" s="6" t="s">
        <v>28</v>
      </c>
      <c r="D28" s="5" t="s">
        <v>38</v>
      </c>
    </row>
    <row r="29" spans="1:6" ht="26" x14ac:dyDescent="0.35">
      <c r="A29" s="5" t="s">
        <v>39</v>
      </c>
      <c r="B29" s="15">
        <v>20000</v>
      </c>
      <c r="C29" s="6" t="s">
        <v>17</v>
      </c>
      <c r="D29" s="5" t="s">
        <v>40</v>
      </c>
    </row>
    <row r="30" spans="1:6" customFormat="1" ht="26" x14ac:dyDescent="0.35">
      <c r="A30" s="5" t="s">
        <v>119</v>
      </c>
      <c r="B30" s="46">
        <v>50000</v>
      </c>
      <c r="C30" s="6" t="s">
        <v>17</v>
      </c>
      <c r="D30" s="5" t="s">
        <v>116</v>
      </c>
    </row>
    <row r="31" spans="1:6" customFormat="1" ht="39" x14ac:dyDescent="0.35">
      <c r="A31" s="5" t="s">
        <v>118</v>
      </c>
      <c r="B31" s="46">
        <v>5000</v>
      </c>
      <c r="C31" s="6" t="s">
        <v>17</v>
      </c>
      <c r="D31" s="5" t="s">
        <v>117</v>
      </c>
    </row>
    <row r="32" spans="1:6" x14ac:dyDescent="0.35">
      <c r="A32" s="43"/>
      <c r="B32" s="44"/>
      <c r="C32" s="45"/>
      <c r="D32" s="43"/>
    </row>
    <row r="34" spans="1:6" ht="25" customHeight="1" x14ac:dyDescent="0.35">
      <c r="A34" s="29" t="s">
        <v>41</v>
      </c>
      <c r="B34" s="27"/>
      <c r="C34" s="27"/>
      <c r="D34" s="27"/>
      <c r="E34" s="27"/>
      <c r="F34" s="27"/>
    </row>
    <row r="35" spans="1:6" x14ac:dyDescent="0.35">
      <c r="A35" s="1" t="s">
        <v>21</v>
      </c>
      <c r="B35" s="1" t="s">
        <v>42</v>
      </c>
      <c r="C35" s="1" t="s">
        <v>43</v>
      </c>
      <c r="D35" s="1" t="s">
        <v>44</v>
      </c>
      <c r="E35" s="1" t="s">
        <v>45</v>
      </c>
    </row>
    <row r="36" spans="1:6" x14ac:dyDescent="0.35">
      <c r="A36" s="7" t="s">
        <v>46</v>
      </c>
      <c r="B36" s="16">
        <f>B12*B13*B22</f>
        <v>1000000</v>
      </c>
      <c r="C36" s="16">
        <v>0</v>
      </c>
      <c r="D36" s="16">
        <f t="shared" ref="D36:D45" si="0">B36-C36</f>
        <v>1000000</v>
      </c>
      <c r="E36" s="8" t="s">
        <v>47</v>
      </c>
    </row>
    <row r="37" spans="1:6" x14ac:dyDescent="0.35">
      <c r="A37" s="7" t="s">
        <v>48</v>
      </c>
      <c r="B37" s="16">
        <f>B12*B23</f>
        <v>4000000</v>
      </c>
      <c r="C37" s="16">
        <v>0</v>
      </c>
      <c r="D37" s="16">
        <f t="shared" si="0"/>
        <v>4000000</v>
      </c>
      <c r="E37" s="8" t="s">
        <v>49</v>
      </c>
    </row>
    <row r="38" spans="1:6" x14ac:dyDescent="0.35">
      <c r="A38" s="7" t="s">
        <v>50</v>
      </c>
      <c r="B38" s="16">
        <f>B12*(B24/60)*B25</f>
        <v>66666666.666666664</v>
      </c>
      <c r="C38" s="16">
        <f>B12*(B28/60)*B25</f>
        <v>13333333.333333334</v>
      </c>
      <c r="D38" s="16">
        <f t="shared" si="0"/>
        <v>53333333.333333328</v>
      </c>
      <c r="E38" s="8" t="s">
        <v>51</v>
      </c>
    </row>
    <row r="39" spans="1:6" x14ac:dyDescent="0.35">
      <c r="A39" s="7" t="s">
        <v>52</v>
      </c>
      <c r="B39" s="16">
        <f>B12*(B26/100)*(B13*B22)</f>
        <v>20000</v>
      </c>
      <c r="C39" s="16">
        <v>0</v>
      </c>
      <c r="D39" s="16">
        <f t="shared" si="0"/>
        <v>20000</v>
      </c>
      <c r="E39" s="8" t="s">
        <v>53</v>
      </c>
    </row>
    <row r="40" spans="1:6" x14ac:dyDescent="0.35">
      <c r="A40" s="7" t="s">
        <v>54</v>
      </c>
      <c r="B40" s="16">
        <f>B27</f>
        <v>100000</v>
      </c>
      <c r="C40" s="16">
        <f>B29</f>
        <v>20000</v>
      </c>
      <c r="D40" s="16">
        <f t="shared" si="0"/>
        <v>80000</v>
      </c>
      <c r="E40" s="8" t="s">
        <v>55</v>
      </c>
    </row>
    <row r="41" spans="1:6" x14ac:dyDescent="0.35">
      <c r="A41" s="7" t="s">
        <v>56</v>
      </c>
      <c r="B41" s="16">
        <v>0</v>
      </c>
      <c r="C41" s="16">
        <f>B16</f>
        <v>15000000</v>
      </c>
      <c r="D41" s="16">
        <f t="shared" si="0"/>
        <v>-15000000</v>
      </c>
      <c r="E41" s="8" t="s">
        <v>57</v>
      </c>
    </row>
    <row r="42" spans="1:6" customFormat="1" x14ac:dyDescent="0.35">
      <c r="A42" s="7" t="s">
        <v>135</v>
      </c>
      <c r="B42" s="48"/>
      <c r="C42" s="48"/>
      <c r="D42" s="48"/>
      <c r="E42" s="8" t="s">
        <v>136</v>
      </c>
    </row>
    <row r="43" spans="1:6" customFormat="1" x14ac:dyDescent="0.35">
      <c r="A43" s="7" t="s">
        <v>137</v>
      </c>
      <c r="B43" s="48"/>
      <c r="C43" s="48"/>
      <c r="D43" s="48"/>
      <c r="E43" s="8" t="s">
        <v>138</v>
      </c>
    </row>
    <row r="44" spans="1:6" x14ac:dyDescent="0.35">
      <c r="A44" s="21"/>
      <c r="B44" s="22"/>
      <c r="C44" s="22"/>
      <c r="D44" s="22"/>
      <c r="E44" s="23"/>
    </row>
    <row r="45" spans="1:6" ht="15.5" x14ac:dyDescent="0.35">
      <c r="A45" s="9" t="s">
        <v>58</v>
      </c>
      <c r="B45" s="10">
        <f>SUM(B36:B41)</f>
        <v>71786666.666666657</v>
      </c>
      <c r="C45" s="10">
        <f>SUM(C36:C41)</f>
        <v>28353333.333333336</v>
      </c>
      <c r="D45" s="10">
        <f t="shared" si="0"/>
        <v>43433333.333333321</v>
      </c>
      <c r="E45" s="11" t="s">
        <v>59</v>
      </c>
    </row>
    <row r="47" spans="1:6" ht="25" customHeight="1" x14ac:dyDescent="0.35">
      <c r="A47" s="29" t="s">
        <v>60</v>
      </c>
      <c r="B47" s="27"/>
      <c r="C47" s="27"/>
      <c r="D47" s="27"/>
      <c r="E47" s="27"/>
      <c r="F47" s="27"/>
    </row>
    <row r="48" spans="1:6" ht="29" x14ac:dyDescent="0.35">
      <c r="A48" s="12" t="s">
        <v>61</v>
      </c>
      <c r="B48" s="17">
        <f>D45</f>
        <v>43433333.333333321</v>
      </c>
      <c r="C48" s="12" t="s">
        <v>62</v>
      </c>
    </row>
    <row r="49" spans="1:6" ht="15.5" x14ac:dyDescent="0.35">
      <c r="A49" s="12" t="s">
        <v>63</v>
      </c>
      <c r="B49" s="17">
        <f>B18</f>
        <v>3</v>
      </c>
      <c r="C49" s="12" t="s">
        <v>64</v>
      </c>
    </row>
    <row r="50" spans="1:6" ht="29" x14ac:dyDescent="0.35">
      <c r="A50" s="24" t="s">
        <v>65</v>
      </c>
      <c r="B50" s="25">
        <f>B18/(D45/12)</f>
        <v>8.288564850345359E-7</v>
      </c>
      <c r="C50" s="24" t="s">
        <v>66</v>
      </c>
    </row>
    <row r="51" spans="1:6" ht="29" x14ac:dyDescent="0.35">
      <c r="A51" s="12" t="s">
        <v>67</v>
      </c>
      <c r="B51" s="17">
        <f>D45-B18</f>
        <v>43433330.333333321</v>
      </c>
      <c r="C51" s="12" t="s">
        <v>68</v>
      </c>
    </row>
    <row r="52" spans="1:6" ht="15.5" x14ac:dyDescent="0.35">
      <c r="A52" s="12" t="s">
        <v>69</v>
      </c>
      <c r="B52" s="18">
        <f>(D45-B18)/(B18+B16)*100</f>
        <v>289.55547764445993</v>
      </c>
      <c r="C52" s="12" t="s">
        <v>70</v>
      </c>
    </row>
    <row r="53" spans="1:6" ht="29" x14ac:dyDescent="0.35">
      <c r="A53" s="12" t="s">
        <v>71</v>
      </c>
      <c r="B53" s="18">
        <f>(D45*2-B18)/(B18+B16*2)*100</f>
        <v>289.55551660000378</v>
      </c>
      <c r="C53" s="12" t="s">
        <v>72</v>
      </c>
    </row>
    <row r="54" spans="1:6" ht="29" x14ac:dyDescent="0.35">
      <c r="A54" s="12" t="s">
        <v>73</v>
      </c>
      <c r="B54" s="18">
        <f>(D45*3-B18)/(B18+B16*3)*100</f>
        <v>289.55552958518689</v>
      </c>
      <c r="C54" s="12" t="s">
        <v>74</v>
      </c>
    </row>
    <row r="55" spans="1:6" ht="29" x14ac:dyDescent="0.35">
      <c r="A55" s="12" t="s">
        <v>75</v>
      </c>
      <c r="B55" s="18">
        <f>(D45*5-B18)/(B18+B16*5)*100</f>
        <v>289.55553997333385</v>
      </c>
      <c r="C55" s="12" t="s">
        <v>76</v>
      </c>
    </row>
    <row r="56" spans="1:6" ht="29" x14ac:dyDescent="0.35">
      <c r="A56" s="12" t="s">
        <v>77</v>
      </c>
      <c r="B56" s="17">
        <f>D45*3-B18</f>
        <v>130299996.99999997</v>
      </c>
      <c r="C56" s="12" t="s">
        <v>78</v>
      </c>
    </row>
    <row r="57" spans="1:6" ht="29" x14ac:dyDescent="0.35">
      <c r="A57" s="12" t="s">
        <v>79</v>
      </c>
      <c r="B57" s="17">
        <f>D45*5-B18</f>
        <v>217166663.6666666</v>
      </c>
      <c r="C57" s="12" t="s">
        <v>80</v>
      </c>
    </row>
    <row r="59" spans="1:6" ht="25" customHeight="1" x14ac:dyDescent="0.35">
      <c r="A59" s="29" t="s">
        <v>81</v>
      </c>
      <c r="B59" s="27"/>
      <c r="C59" s="27"/>
      <c r="D59" s="27"/>
      <c r="E59" s="27"/>
      <c r="F59" s="27"/>
    </row>
    <row r="60" spans="1:6" ht="39" x14ac:dyDescent="0.35">
      <c r="A60" s="13" t="s">
        <v>82</v>
      </c>
      <c r="B60" s="19" t="s">
        <v>83</v>
      </c>
      <c r="C60" s="30" t="s">
        <v>84</v>
      </c>
      <c r="D60" s="31"/>
      <c r="E60" s="31"/>
    </row>
    <row r="61" spans="1:6" x14ac:dyDescent="0.35">
      <c r="A61" s="13" t="s">
        <v>85</v>
      </c>
      <c r="B61" s="20">
        <f>B12*B13</f>
        <v>10000000</v>
      </c>
      <c r="C61" s="26" t="s">
        <v>86</v>
      </c>
      <c r="D61" s="27"/>
      <c r="E61" s="27"/>
    </row>
    <row r="62" spans="1:6" ht="26" x14ac:dyDescent="0.35">
      <c r="A62" s="13" t="s">
        <v>87</v>
      </c>
      <c r="B62" s="19" t="s">
        <v>88</v>
      </c>
      <c r="C62" s="26" t="s">
        <v>89</v>
      </c>
      <c r="D62" s="27"/>
      <c r="E62" s="27"/>
    </row>
    <row r="63" spans="1:6" ht="26" x14ac:dyDescent="0.35">
      <c r="A63" s="13" t="s">
        <v>90</v>
      </c>
      <c r="B63" s="19" t="s">
        <v>98</v>
      </c>
      <c r="C63" s="26" t="s">
        <v>91</v>
      </c>
      <c r="D63" s="27"/>
      <c r="E63" s="27"/>
    </row>
    <row r="64" spans="1:6" ht="26" x14ac:dyDescent="0.35">
      <c r="A64" s="13" t="s">
        <v>92</v>
      </c>
      <c r="B64" s="19" t="s">
        <v>93</v>
      </c>
      <c r="C64" s="26" t="s">
        <v>94</v>
      </c>
      <c r="D64" s="27"/>
      <c r="E64" s="27"/>
    </row>
    <row r="65" spans="1:5" ht="26" x14ac:dyDescent="0.35">
      <c r="A65" s="13" t="s">
        <v>95</v>
      </c>
      <c r="B65" s="19" t="s">
        <v>96</v>
      </c>
      <c r="C65" s="26" t="s">
        <v>97</v>
      </c>
      <c r="D65" s="27"/>
      <c r="E65" s="27"/>
    </row>
    <row r="66" spans="1:5" ht="26" x14ac:dyDescent="0.35">
      <c r="A66" s="13" t="s">
        <v>120</v>
      </c>
      <c r="B66" s="19" t="s">
        <v>121</v>
      </c>
      <c r="C66" s="26" t="s">
        <v>122</v>
      </c>
      <c r="D66" s="27"/>
      <c r="E66" s="27"/>
    </row>
    <row r="67" spans="1:5" ht="39" x14ac:dyDescent="0.35">
      <c r="A67" s="13" t="s">
        <v>123</v>
      </c>
      <c r="B67" s="19" t="s">
        <v>124</v>
      </c>
      <c r="C67" s="26" t="s">
        <v>125</v>
      </c>
      <c r="D67" s="27"/>
      <c r="E67" s="27"/>
    </row>
    <row r="68" spans="1:5" ht="39" x14ac:dyDescent="0.35">
      <c r="A68" s="13" t="s">
        <v>126</v>
      </c>
      <c r="B68" s="19" t="s">
        <v>127</v>
      </c>
      <c r="C68" s="26" t="s">
        <v>128</v>
      </c>
      <c r="D68" s="27"/>
      <c r="E68" s="27"/>
    </row>
    <row r="69" spans="1:5" ht="39" x14ac:dyDescent="0.35">
      <c r="A69" s="13" t="s">
        <v>129</v>
      </c>
      <c r="B69" s="19" t="s">
        <v>130</v>
      </c>
      <c r="C69" s="26" t="s">
        <v>131</v>
      </c>
      <c r="D69" s="27"/>
      <c r="E69" s="27"/>
    </row>
    <row r="70" spans="1:5" ht="26" x14ac:dyDescent="0.35">
      <c r="A70" s="13" t="s">
        <v>132</v>
      </c>
      <c r="B70" s="19" t="s">
        <v>133</v>
      </c>
      <c r="C70" s="26" t="s">
        <v>134</v>
      </c>
      <c r="D70" s="27"/>
      <c r="E70" s="27"/>
    </row>
  </sheetData>
  <mergeCells count="23">
    <mergeCell ref="C67:E67"/>
    <mergeCell ref="C68:E68"/>
    <mergeCell ref="C69:E69"/>
    <mergeCell ref="C70:E70"/>
    <mergeCell ref="C7:F7"/>
    <mergeCell ref="C8:F8"/>
    <mergeCell ref="C66:E66"/>
    <mergeCell ref="C65:E65"/>
    <mergeCell ref="A1:F1"/>
    <mergeCell ref="C62:E62"/>
    <mergeCell ref="C61:E61"/>
    <mergeCell ref="A47:F47"/>
    <mergeCell ref="A10:F10"/>
    <mergeCell ref="C64:E64"/>
    <mergeCell ref="C60:E60"/>
    <mergeCell ref="A34:F34"/>
    <mergeCell ref="C63:E63"/>
    <mergeCell ref="A59:F59"/>
    <mergeCell ref="A20:F20"/>
    <mergeCell ref="A2:F2"/>
    <mergeCell ref="A4:F4"/>
    <mergeCell ref="C5:F5"/>
    <mergeCell ref="C6:F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59a1851-bfcf-4536-8dd7-bd19f398e625}" enabled="0" method="" siteId="{e59a1851-bfcf-4536-8dd7-bd19f398e6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Srinivasu Gollapudi</cp:lastModifiedBy>
  <dcterms:created xsi:type="dcterms:W3CDTF">2025-11-10T12:01:20Z</dcterms:created>
  <dcterms:modified xsi:type="dcterms:W3CDTF">2025-11-11T11:47:24Z</dcterms:modified>
</cp:coreProperties>
</file>